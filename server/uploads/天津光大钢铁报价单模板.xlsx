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24460"/>
  </bookViews>
  <sheets>
    <sheet name="2x28" sheetId="1" r:id="rId1"/>
    <sheet name="2x1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<sst xmlns="http://schemas.openxmlformats.org/spreadsheetml/2006/main" count="151" uniqueCount="79">
  <si>
    <t>天津光大钢铁报价单模板</t>
  </si>
  <si>
    <t>序号</t>
  </si>
  <si>
    <t>产品名称</t>
  </si>
  <si>
    <t>规格型号</t>
  </si>
  <si>
    <t>材质</t>
  </si>
  <si>
    <t>数量</t>
  </si>
  <si>
    <t>单位</t>
  </si>
  <si>
    <t>单价（元）</t>
  </si>
  <si>
    <t>金额（元）</t>
  </si>
  <si>
    <t>备注</t>
  </si>
  <si>
    <t>2*14单组材料清单</t>
  </si>
  <si>
    <t>编号</t>
  </si>
  <si>
    <t>名称</t>
  </si>
  <si>
    <t>规格</t>
  </si>
  <si>
    <t>长度/mm</t>
  </si>
  <si>
    <t>单价</t>
  </si>
  <si>
    <t>合计</t>
  </si>
  <si>
    <t>檩条</t>
  </si>
  <si>
    <t>C160*60*20*2.0</t>
  </si>
  <si>
    <t>Q420B</t>
  </si>
  <si>
    <t>根</t>
  </si>
  <si>
    <t>热镀锌锌层85微米</t>
  </si>
  <si>
    <t>斜梁</t>
  </si>
  <si>
    <t>C100*50*15*2.5</t>
  </si>
  <si>
    <t>Q355B</t>
  </si>
  <si>
    <t>前斜撑</t>
  </si>
  <si>
    <t>C80*40*15*2.0</t>
  </si>
  <si>
    <t>后斜撑</t>
  </si>
  <si>
    <t>C90*50*15*2.0</t>
  </si>
  <si>
    <t>前立柱</t>
  </si>
  <si>
    <t>C100*50*15*2.2</t>
  </si>
  <si>
    <t>后立柱</t>
  </si>
  <si>
    <t>檩条连接件</t>
  </si>
  <si>
    <t>C168*68*3.0</t>
  </si>
  <si>
    <t>个</t>
  </si>
  <si>
    <t>抱箍1</t>
  </si>
  <si>
    <t>热镀锌100x6mm钢板</t>
  </si>
  <si>
    <t>对</t>
  </si>
  <si>
    <t>抱箍2</t>
  </si>
  <si>
    <t>檩托</t>
  </si>
  <si>
    <t>L140*90*8.0</t>
  </si>
  <si>
    <t>Q235B</t>
  </si>
  <si>
    <t>横担</t>
  </si>
  <si>
    <t>C60*40*10*2.0</t>
  </si>
  <si>
    <t>立柱拉杆</t>
  </si>
  <si>
    <t xml:space="preserve"> Φ12（牙长300mm）</t>
  </si>
  <si>
    <t>热镀锌锌层85微米，含平弹母</t>
  </si>
  <si>
    <t>斜梁拉杆</t>
  </si>
  <si>
    <t>直拉条1(冷弯）</t>
  </si>
  <si>
    <t>L40*2</t>
  </si>
  <si>
    <t>直拉条2(冷弯）</t>
  </si>
  <si>
    <t>斜拉条</t>
  </si>
  <si>
    <t>φ10</t>
  </si>
  <si>
    <t>立柱拉杆连接件</t>
  </si>
  <si>
    <t>50X20X3.0X25（扇形垫片）</t>
  </si>
  <si>
    <t>热镀锌锌层65微米</t>
  </si>
  <si>
    <t>斜梁拉杆连接件</t>
  </si>
  <si>
    <t>边压块</t>
  </si>
  <si>
    <t>L=60</t>
  </si>
  <si>
    <t>铝合金</t>
  </si>
  <si>
    <t>套</t>
  </si>
  <si>
    <t>8*40一螺杆一大平两弹一母</t>
  </si>
  <si>
    <t>中压块</t>
  </si>
  <si>
    <t>组件固定螺栓</t>
  </si>
  <si>
    <t>M8*22外六角螺栓组</t>
  </si>
  <si>
    <t>一大平一平一弹一母</t>
  </si>
  <si>
    <t>檩托与檩条、檩条与斜梁、檩托与斜梁连接螺栓</t>
  </si>
  <si>
    <t>M12*40外六角螺栓组</t>
  </si>
  <si>
    <t>热浸镀锌8.8级</t>
  </si>
  <si>
    <t>两大平一弹两母</t>
  </si>
  <si>
    <t>斜撑两端，立柱与斜梁、横担固定螺栓</t>
  </si>
  <si>
    <t>M16*50外六角螺栓组</t>
  </si>
  <si>
    <t>立柱与抱箍连接螺栓</t>
  </si>
  <si>
    <t>M16*90外六角螺栓组</t>
  </si>
  <si>
    <t>檩条连接件连接螺栓</t>
  </si>
  <si>
    <t>M14*40外六角螺栓组</t>
  </si>
  <si>
    <t>两大平一弹一母</t>
  </si>
  <si>
    <t>直拉条与檩条连接螺栓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</si>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</sst>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4"/>
      <color theme="2" tint="-0.75"/>
      <name val="宋体"/>
      <charset val="134"/>
      <scheme val="minor"/>
    </font>
    <font>
      <b/>
      <sz val="12"/>
      <color rgb="FF00B0F0"/>
      <name val="宋体"/>
      <charset val="134"/>
      <scheme val="minor"/>
    </font>
    <font>
      <sz val="11"/>
      <color theme="2" tint="-0.75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4"/>
      <name val="宋体"/>
      <charset val="134"/>
      <scheme val="minor"/>
    </font>
    <font>
      <sz val="12"/>
      <color rgb="FF000000"/>
      <name val="宋体"/>
      <charset val="134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5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176" fontId="11" fillId="6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20"/>
  <sheetViews>
    <sheetView tabSelected="1" workbookViewId="0">
      <selection activeCell="G4" sqref="G4"/>
    </sheetView>
  </sheetViews>
  <sheetFormatPr defaultColWidth="9" defaultRowHeight="16.8"/>
  <cols>
    <col min="1" max="1" width="9" style="19"/>
    <col min="2" max="2" width="26.7596153846154" style="21" customWidth="1"/>
    <col min="3" max="3" width="21.9807692307692" style="21" customWidth="1"/>
    <col min="4" max="4" width="10.2788461538462" style="19" customWidth="1"/>
    <col min="5" max="5" width="8.5" style="19" customWidth="1"/>
    <col min="6" max="6" width="11.6442307692308" style="19" customWidth="1"/>
    <col min="7" max="7" width="12.8173076923077" style="18" customWidth="1"/>
    <col min="8" max="8" width="15.0576923076923" style="18" customWidth="1"/>
    <col min="9" max="9" width="30.3365384615385" style="19" customWidth="1"/>
    <col min="10" max="13" width="9" style="19"/>
    <col min="14" max="15" width="12.625" style="19"/>
    <col min="17" max="19" width="9" style="19"/>
    <col min="20" max="20" width="12.625" style="19"/>
    <col min="21" max="21" width="9" style="19"/>
    <col min="22" max="22" width="12.625" style="19"/>
    <col min="23" max="16384" width="9" style="19"/>
  </cols>
  <sheetData>
    <row r="1" s="19" customFormat="1" ht="45" customHeight="1" spans="1:9">
      <c r="A1" s="2" t="s">
        <v>0</v>
      </c>
      <c r="B1" s="3"/>
      <c r="C1" s="3"/>
      <c r="D1" s="2"/>
      <c r="E1" s="2"/>
      <c r="F1" s="2"/>
      <c r="G1" s="14"/>
      <c r="H1" s="14"/>
      <c r="I1" s="2"/>
    </row>
    <row r="2" s="20" customFormat="1" ht="24" customHeight="1" spans="1:9">
      <c r="A2" s="22" t="s">
        <v>1</v>
      </c>
      <c r="B2" s="23" t="s">
        <v>2</v>
      </c>
      <c r="C2" s="23" t="s">
        <v>3</v>
      </c>
      <c r="D2" s="24" t="s">
        <v>4</v>
      </c>
      <c r="E2" s="24" t="s">
        <v>5</v>
      </c>
      <c r="F2" s="24" t="s">
        <v>6</v>
      </c>
      <c r="G2" s="26" t="s">
        <v>7</v>
      </c>
      <c r="H2" s="26" t="s">
        <v>8</v>
      </c>
      <c r="I2" s="24" t="s">
        <v>9</v>
      </c>
    </row>
    <row r="3" s="19" customFormat="1" ht="30" customHeight="1" spans="1:9">
      <c r="A3" s="25">
        <v>1</v>
      </c>
      <c r="B3" s="8"/>
      <c r="C3" s="8"/>
      <c r="D3" s="8"/>
      <c r="E3" s="10"/>
      <c r="F3" s="16"/>
      <c r="G3" s="17"/>
      <c r="H3" s="17"/>
      <c r="I3" s="10"/>
    </row>
    <row r="4" s="19" customFormat="1" ht="30" customHeight="1" spans="1:9">
      <c r="A4" s="25">
        <v>2</v>
      </c>
      <c r="B4" s="8"/>
      <c r="C4" s="8"/>
      <c r="D4" s="8"/>
      <c r="E4" s="10"/>
      <c r="F4" s="16"/>
      <c r="G4" s="17"/>
      <c r="H4" s="17"/>
      <c r="I4" s="10"/>
    </row>
    <row r="5" s="19" customFormat="1" ht="30" customHeight="1" spans="1:9">
      <c r="A5" s="25">
        <v>3</v>
      </c>
      <c r="B5" s="8"/>
      <c r="C5" s="8"/>
      <c r="D5" s="8"/>
      <c r="E5" s="10"/>
      <c r="F5" s="16"/>
      <c r="G5" s="17"/>
      <c r="H5" s="17"/>
      <c r="I5" s="10"/>
    </row>
    <row r="6" s="19" customFormat="1" ht="30" customHeight="1" spans="1:9">
      <c r="A6" s="25">
        <v>4</v>
      </c>
      <c r="B6" s="8"/>
      <c r="C6" s="8"/>
      <c r="D6" s="8"/>
      <c r="E6" s="10"/>
      <c r="F6" s="16"/>
      <c r="G6" s="17"/>
      <c r="H6" s="17"/>
      <c r="I6" s="10"/>
    </row>
    <row r="7" s="19" customFormat="1" ht="30" customHeight="1" spans="1:9">
      <c r="A7" s="25">
        <v>5</v>
      </c>
      <c r="B7" s="8"/>
      <c r="C7" s="8"/>
      <c r="D7" s="8"/>
      <c r="E7" s="10"/>
      <c r="F7" s="16"/>
      <c r="G7" s="17"/>
      <c r="H7" s="17"/>
      <c r="I7" s="10"/>
    </row>
    <row r="8" s="19" customFormat="1" ht="30" customHeight="1" spans="1:9">
      <c r="A8" s="25">
        <v>6</v>
      </c>
      <c r="B8" s="8"/>
      <c r="C8" s="8"/>
      <c r="D8" s="8"/>
      <c r="E8" s="10"/>
      <c r="F8" s="16"/>
      <c r="G8" s="17"/>
      <c r="H8" s="17"/>
      <c r="I8" s="10"/>
    </row>
    <row r="9" s="19" customFormat="1" ht="30" customHeight="1" spans="1:9">
      <c r="A9" s="25">
        <v>7</v>
      </c>
      <c r="B9" s="8"/>
      <c r="C9" s="8"/>
      <c r="D9" s="8"/>
      <c r="E9" s="10"/>
      <c r="F9" s="16"/>
      <c r="G9" s="17"/>
      <c r="H9" s="17"/>
      <c r="I9" s="10"/>
    </row>
    <row r="10" s="19" customFormat="1" ht="30" customHeight="1" spans="1:9">
      <c r="A10" s="25">
        <v>8</v>
      </c>
      <c r="B10" s="8"/>
      <c r="C10" s="8"/>
      <c r="D10" s="8"/>
      <c r="E10" s="10"/>
      <c r="F10" s="16"/>
      <c r="G10" s="18"/>
      <c r="H10" s="17"/>
      <c r="I10" s="10"/>
    </row>
    <row r="11" s="19" customFormat="1" ht="30" customHeight="1" spans="1:9">
      <c r="A11" s="25">
        <v>9</v>
      </c>
      <c r="B11" s="8"/>
      <c r="C11" s="8"/>
      <c r="D11" s="8"/>
      <c r="E11" s="10"/>
      <c r="F11" s="16"/>
      <c r="G11" s="17"/>
      <c r="H11" s="17"/>
      <c r="I11" s="10"/>
    </row>
    <row r="12" s="19" customFormat="1" ht="30" customHeight="1" spans="1:9">
      <c r="A12" s="25">
        <v>10</v>
      </c>
      <c r="B12" s="8"/>
      <c r="C12" s="8"/>
      <c r="D12" s="8"/>
      <c r="E12" s="10"/>
      <c r="F12" s="16"/>
      <c r="G12" s="17"/>
      <c r="H12" s="17"/>
      <c r="I12" s="10"/>
    </row>
    <row r="13" s="19" customFormat="1" ht="30" customHeight="1" spans="1:9">
      <c r="A13" s="25">
        <v>11</v>
      </c>
      <c r="B13" s="8"/>
      <c r="C13" s="8"/>
      <c r="D13" s="8"/>
      <c r="E13" s="10"/>
      <c r="F13" s="16"/>
      <c r="G13" s="17"/>
      <c r="H13" s="17"/>
      <c r="I13" s="10"/>
    </row>
    <row r="14" s="19" customFormat="1" ht="30" customHeight="1" spans="1:9">
      <c r="A14" s="25">
        <v>12</v>
      </c>
      <c r="B14" s="8"/>
      <c r="C14" s="8"/>
      <c r="D14" s="8"/>
      <c r="E14" s="10"/>
      <c r="F14" s="16"/>
      <c r="G14" s="17"/>
      <c r="H14" s="17"/>
      <c r="I14" s="10"/>
    </row>
    <row r="15" s="19" customFormat="1" ht="30" customHeight="1" spans="1:9">
      <c r="A15" s="25">
        <v>13</v>
      </c>
      <c r="B15" s="8"/>
      <c r="C15" s="8"/>
      <c r="D15" s="8"/>
      <c r="E15" s="10"/>
      <c r="F15" s="16"/>
      <c r="G15" s="17"/>
      <c r="H15" s="17"/>
      <c r="I15" s="10"/>
    </row>
    <row r="16" s="19" customFormat="1" ht="30" customHeight="1" spans="1:9">
      <c r="A16" s="25">
        <v>14</v>
      </c>
      <c r="B16" s="8"/>
      <c r="C16" s="8"/>
      <c r="D16" s="8"/>
      <c r="E16" s="10"/>
      <c r="F16" s="16"/>
      <c r="G16" s="17"/>
      <c r="H16" s="17"/>
      <c r="I16" s="10"/>
    </row>
    <row r="17" s="19" customFormat="1" ht="30" customHeight="1" spans="1:9">
      <c r="A17" s="25">
        <v>15</v>
      </c>
      <c r="B17" s="8"/>
      <c r="C17" s="8"/>
      <c r="D17" s="8"/>
      <c r="E17" s="10"/>
      <c r="F17" s="16"/>
      <c r="G17" s="17"/>
      <c r="H17" s="17"/>
      <c r="I17" s="10"/>
    </row>
    <row r="18" s="19" customFormat="1" ht="30" customHeight="1" spans="1:9">
      <c r="A18" s="25">
        <v>16</v>
      </c>
      <c r="B18" s="8"/>
      <c r="C18" s="8"/>
      <c r="D18" s="8"/>
      <c r="E18" s="10"/>
      <c r="F18" s="16"/>
      <c r="G18" s="17"/>
      <c r="H18" s="17"/>
      <c r="I18" s="10"/>
    </row>
    <row r="19" s="19" customFormat="1" ht="30" customHeight="1" spans="1:9">
      <c r="A19" s="25">
        <v>28</v>
      </c>
      <c r="B19" s="8"/>
      <c r="C19" s="8"/>
      <c r="D19" s="8"/>
      <c r="E19" s="10"/>
      <c r="F19" s="10"/>
      <c r="G19" s="17"/>
      <c r="H19" s="17"/>
      <c r="I19" s="10"/>
    </row>
    <row r="20" s="19" customFormat="1" ht="30" customHeight="1" spans="1:9">
      <c r="A20" s="25">
        <v>29</v>
      </c>
      <c r="B20" s="10"/>
      <c r="C20" s="11"/>
      <c r="D20" s="10"/>
      <c r="E20" s="10"/>
      <c r="F20" s="10"/>
      <c r="G20" s="17"/>
      <c r="H20" s="17"/>
      <c r="I20" s="10"/>
    </row>
  </sheetData>
  <mergeCells count="1">
    <mergeCell ref="A1:I1"/>
  </mergeCells>
  <pageMargins left="0.75" right="0.75" top="1" bottom="1" header="0.5" footer="0.5"/>
  <pageSetup paperSize="9" scale="6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opLeftCell="A21" workbookViewId="0">
      <selection activeCell="I31" sqref="I31"/>
    </sheetView>
  </sheetViews>
  <sheetFormatPr defaultColWidth="8.72115384615385" defaultRowHeight="16.8"/>
  <cols>
    <col min="2" max="2" width="29.0961538461538" customWidth="1"/>
    <col min="3" max="3" width="22.2788461538462" customWidth="1"/>
    <col min="5" max="5" width="9.81730769230769" customWidth="1"/>
    <col min="8" max="8" width="8.72115384615385" style="1"/>
    <col min="9" max="9" width="9.375" style="1"/>
    <col min="10" max="10" width="27.5384615384615" customWidth="1"/>
    <col min="15" max="17" width="12.625"/>
  </cols>
  <sheetData>
    <row r="1" ht="46" customHeight="1" spans="1:10">
      <c r="A1" s="2" t="s">
        <v>10</v>
      </c>
      <c r="B1" s="3"/>
      <c r="C1" s="3"/>
      <c r="D1" s="2"/>
      <c r="E1" s="2"/>
      <c r="F1" s="2"/>
      <c r="G1" s="2"/>
      <c r="H1" s="14"/>
      <c r="I1" s="14"/>
      <c r="J1" s="2"/>
    </row>
    <row r="2" ht="22" customHeight="1" spans="1:16">
      <c r="A2" s="4" t="s">
        <v>11</v>
      </c>
      <c r="B2" s="5" t="s">
        <v>12</v>
      </c>
      <c r="C2" s="5" t="s">
        <v>13</v>
      </c>
      <c r="D2" s="6" t="s">
        <v>4</v>
      </c>
      <c r="E2" s="6" t="s">
        <v>14</v>
      </c>
      <c r="F2" s="6" t="s">
        <v>6</v>
      </c>
      <c r="G2" s="6" t="s">
        <v>5</v>
      </c>
      <c r="H2" s="15" t="s">
        <v>15</v>
      </c>
      <c r="I2" s="15" t="s">
        <v>16</v>
      </c>
      <c r="J2" s="6" t="s">
        <v>9</v>
      </c>
      <c r="P2">
        <v>5.024</v>
      </c>
    </row>
    <row r="3" ht="30" customHeight="1" spans="1:16">
      <c r="A3" s="7">
        <v>1</v>
      </c>
      <c r="B3" s="8" t="s">
        <v>17</v>
      </c>
      <c r="C3" s="8" t="s">
        <v>18</v>
      </c>
      <c r="D3" s="8" t="s">
        <v>19</v>
      </c>
      <c r="E3" s="16">
        <v>18720</v>
      </c>
      <c r="F3" s="10" t="s">
        <v>20</v>
      </c>
      <c r="G3" s="16">
        <v>4</v>
      </c>
      <c r="H3" s="17">
        <v>621.57169152</v>
      </c>
      <c r="I3" s="17">
        <f>H3*G3</f>
        <v>2486.28676608</v>
      </c>
      <c r="J3" s="10" t="s">
        <v>21</v>
      </c>
      <c r="K3">
        <v>6609</v>
      </c>
      <c r="L3">
        <v>320</v>
      </c>
      <c r="M3">
        <v>320</v>
      </c>
      <c r="N3" s="19">
        <f>M3/1000*7.85*2</f>
        <v>5.024</v>
      </c>
      <c r="O3">
        <f t="shared" ref="O3:O8" si="0">N3*E3*K3/1000/1000</f>
        <v>621.57169152</v>
      </c>
      <c r="P3">
        <f>O3/E3</f>
        <v>0.033203616</v>
      </c>
    </row>
    <row r="4" ht="30" customHeight="1" spans="1:15">
      <c r="A4" s="7">
        <v>2</v>
      </c>
      <c r="B4" s="8" t="s">
        <v>22</v>
      </c>
      <c r="C4" s="8" t="s">
        <v>23</v>
      </c>
      <c r="D4" s="8" t="s">
        <v>24</v>
      </c>
      <c r="E4" s="16">
        <v>4150</v>
      </c>
      <c r="F4" s="10" t="s">
        <v>20</v>
      </c>
      <c r="G4" s="16">
        <v>4</v>
      </c>
      <c r="H4" s="17">
        <v>120.0537885625</v>
      </c>
      <c r="I4" s="17">
        <f t="shared" ref="I4:I28" si="1">H4*G4</f>
        <v>480.21515425</v>
      </c>
      <c r="J4" s="10" t="s">
        <v>21</v>
      </c>
      <c r="K4">
        <v>6409</v>
      </c>
      <c r="L4">
        <v>230</v>
      </c>
      <c r="M4">
        <v>230</v>
      </c>
      <c r="N4">
        <v>4.51375</v>
      </c>
      <c r="O4">
        <f t="shared" si="0"/>
        <v>120.0537885625</v>
      </c>
    </row>
    <row r="5" ht="30" customHeight="1" spans="1:15">
      <c r="A5" s="7">
        <v>3</v>
      </c>
      <c r="B5" s="8" t="s">
        <v>25</v>
      </c>
      <c r="C5" s="8" t="s">
        <v>26</v>
      </c>
      <c r="D5" s="8" t="s">
        <v>24</v>
      </c>
      <c r="E5" s="16">
        <v>1556</v>
      </c>
      <c r="F5" s="10" t="s">
        <v>20</v>
      </c>
      <c r="G5" s="16">
        <v>4</v>
      </c>
      <c r="H5" s="17">
        <v>30.170062</v>
      </c>
      <c r="I5" s="17">
        <f t="shared" si="1"/>
        <v>120.680248</v>
      </c>
      <c r="J5" s="10" t="s">
        <v>21</v>
      </c>
      <c r="K5">
        <v>6500</v>
      </c>
      <c r="L5">
        <v>190</v>
      </c>
      <c r="M5">
        <v>190</v>
      </c>
      <c r="N5">
        <v>2.983</v>
      </c>
      <c r="O5">
        <f t="shared" si="0"/>
        <v>30.170062</v>
      </c>
    </row>
    <row r="6" ht="30" customHeight="1" spans="1:15">
      <c r="A6" s="7">
        <v>4</v>
      </c>
      <c r="B6" s="8" t="s">
        <v>27</v>
      </c>
      <c r="C6" s="8" t="s">
        <v>28</v>
      </c>
      <c r="D6" s="8" t="s">
        <v>24</v>
      </c>
      <c r="E6" s="16">
        <v>2133</v>
      </c>
      <c r="F6" s="10" t="s">
        <v>20</v>
      </c>
      <c r="G6" s="16">
        <v>4</v>
      </c>
      <c r="H6" s="17">
        <v>48.691027638</v>
      </c>
      <c r="I6" s="17">
        <f t="shared" si="1"/>
        <v>194.764110552</v>
      </c>
      <c r="J6" s="10" t="s">
        <v>21</v>
      </c>
      <c r="K6">
        <v>6609</v>
      </c>
      <c r="L6">
        <v>220</v>
      </c>
      <c r="M6">
        <v>220</v>
      </c>
      <c r="N6">
        <v>3.454</v>
      </c>
      <c r="O6">
        <f t="shared" si="0"/>
        <v>48.691027638</v>
      </c>
    </row>
    <row r="7" ht="30" customHeight="1" spans="1:15">
      <c r="A7" s="7">
        <v>5</v>
      </c>
      <c r="B7" s="8" t="s">
        <v>29</v>
      </c>
      <c r="C7" s="8" t="s">
        <v>30</v>
      </c>
      <c r="D7" s="8" t="s">
        <v>24</v>
      </c>
      <c r="E7" s="16">
        <v>1512</v>
      </c>
      <c r="F7" s="10" t="s">
        <v>20</v>
      </c>
      <c r="G7" s="16">
        <v>4</v>
      </c>
      <c r="H7" s="17">
        <v>46.632338172</v>
      </c>
      <c r="I7" s="17">
        <f t="shared" si="1"/>
        <v>186.529352688</v>
      </c>
      <c r="J7" s="10" t="s">
        <v>21</v>
      </c>
      <c r="K7">
        <v>6859</v>
      </c>
      <c r="L7">
        <v>230</v>
      </c>
      <c r="M7">
        <v>230</v>
      </c>
      <c r="N7">
        <v>4.4965</v>
      </c>
      <c r="O7">
        <f t="shared" si="0"/>
        <v>46.632338172</v>
      </c>
    </row>
    <row r="8" ht="30" customHeight="1" spans="1:15">
      <c r="A8" s="7">
        <v>6</v>
      </c>
      <c r="B8" s="8" t="s">
        <v>31</v>
      </c>
      <c r="C8" s="8" t="s">
        <v>30</v>
      </c>
      <c r="D8" s="8" t="s">
        <v>24</v>
      </c>
      <c r="E8" s="16">
        <v>1678</v>
      </c>
      <c r="F8" s="10" t="s">
        <v>20</v>
      </c>
      <c r="G8" s="16">
        <v>4</v>
      </c>
      <c r="H8" s="17">
        <v>50.997513393</v>
      </c>
      <c r="I8" s="17">
        <f t="shared" si="1"/>
        <v>203.990053572</v>
      </c>
      <c r="J8" s="10" t="s">
        <v>21</v>
      </c>
      <c r="K8">
        <v>6759</v>
      </c>
      <c r="L8">
        <v>230</v>
      </c>
      <c r="M8">
        <v>230</v>
      </c>
      <c r="N8">
        <v>4.4965</v>
      </c>
      <c r="O8">
        <f t="shared" si="0"/>
        <v>50.997513393</v>
      </c>
    </row>
    <row r="9" ht="30" customHeight="1" spans="1:10">
      <c r="A9" s="7">
        <v>7</v>
      </c>
      <c r="B9" s="8" t="s">
        <v>32</v>
      </c>
      <c r="C9" s="8" t="s">
        <v>33</v>
      </c>
      <c r="D9" s="8" t="s">
        <v>24</v>
      </c>
      <c r="E9" s="16">
        <v>300</v>
      </c>
      <c r="F9" s="10" t="s">
        <v>34</v>
      </c>
      <c r="G9" s="16">
        <v>8</v>
      </c>
      <c r="H9" s="17">
        <v>14.8</v>
      </c>
      <c r="I9" s="17">
        <f t="shared" si="1"/>
        <v>118.4</v>
      </c>
      <c r="J9" s="10" t="s">
        <v>21</v>
      </c>
    </row>
    <row r="10" ht="30" customHeight="1" spans="1:10">
      <c r="A10" s="7">
        <v>8</v>
      </c>
      <c r="B10" s="8" t="s">
        <v>35</v>
      </c>
      <c r="C10" s="8" t="s">
        <v>36</v>
      </c>
      <c r="D10" s="8" t="s">
        <v>24</v>
      </c>
      <c r="E10" s="16">
        <v>1342</v>
      </c>
      <c r="F10" s="10" t="s">
        <v>37</v>
      </c>
      <c r="G10" s="16">
        <v>4</v>
      </c>
      <c r="H10" s="18">
        <v>86.8</v>
      </c>
      <c r="I10" s="17">
        <f t="shared" si="1"/>
        <v>347.2</v>
      </c>
      <c r="J10" s="10" t="s">
        <v>21</v>
      </c>
    </row>
    <row r="11" ht="30" customHeight="1" spans="1:10">
      <c r="A11" s="7">
        <v>9</v>
      </c>
      <c r="B11" s="8" t="s">
        <v>38</v>
      </c>
      <c r="C11" s="8" t="s">
        <v>36</v>
      </c>
      <c r="D11" s="8" t="s">
        <v>24</v>
      </c>
      <c r="E11" s="16">
        <v>1142</v>
      </c>
      <c r="F11" s="10" t="s">
        <v>37</v>
      </c>
      <c r="G11" s="16">
        <v>4</v>
      </c>
      <c r="H11" s="17">
        <v>78.8</v>
      </c>
      <c r="I11" s="17">
        <f t="shared" si="1"/>
        <v>315.2</v>
      </c>
      <c r="J11" s="10" t="s">
        <v>21</v>
      </c>
    </row>
    <row r="12" ht="30" customHeight="1" spans="1:10">
      <c r="A12" s="7">
        <v>10</v>
      </c>
      <c r="B12" s="8" t="s">
        <v>39</v>
      </c>
      <c r="C12" s="8" t="s">
        <v>40</v>
      </c>
      <c r="D12" s="8" t="s">
        <v>41</v>
      </c>
      <c r="E12" s="16">
        <v>50</v>
      </c>
      <c r="F12" s="10" t="s">
        <v>34</v>
      </c>
      <c r="G12" s="16">
        <v>16</v>
      </c>
      <c r="H12" s="17">
        <v>4.95</v>
      </c>
      <c r="I12" s="17">
        <f t="shared" si="1"/>
        <v>79.2</v>
      </c>
      <c r="J12" s="10" t="s">
        <v>21</v>
      </c>
    </row>
    <row r="13" ht="30" customHeight="1" spans="1:10">
      <c r="A13" s="7">
        <v>11</v>
      </c>
      <c r="B13" s="8" t="s">
        <v>42</v>
      </c>
      <c r="C13" s="8" t="s">
        <v>43</v>
      </c>
      <c r="D13" s="8" t="s">
        <v>24</v>
      </c>
      <c r="E13" s="16">
        <v>700</v>
      </c>
      <c r="F13" s="10" t="s">
        <v>34</v>
      </c>
      <c r="G13" s="16">
        <v>4</v>
      </c>
      <c r="H13" s="17">
        <v>16.3</v>
      </c>
      <c r="I13" s="17">
        <f t="shared" si="1"/>
        <v>65.2</v>
      </c>
      <c r="J13" s="10" t="s">
        <v>21</v>
      </c>
    </row>
    <row r="14" ht="30" customHeight="1" spans="1:10">
      <c r="A14" s="7">
        <v>12</v>
      </c>
      <c r="B14" s="8" t="s">
        <v>44</v>
      </c>
      <c r="C14" s="8" t="s">
        <v>45</v>
      </c>
      <c r="D14" s="8" t="s">
        <v>41</v>
      </c>
      <c r="E14" s="16">
        <v>6000</v>
      </c>
      <c r="F14" s="10" t="s">
        <v>20</v>
      </c>
      <c r="G14" s="16">
        <v>8</v>
      </c>
      <c r="H14" s="17">
        <v>28.2</v>
      </c>
      <c r="I14" s="17">
        <f t="shared" si="1"/>
        <v>225.6</v>
      </c>
      <c r="J14" s="10" t="s">
        <v>46</v>
      </c>
    </row>
    <row r="15" ht="30" customHeight="1" spans="1:10">
      <c r="A15" s="7">
        <v>13</v>
      </c>
      <c r="B15" s="8" t="s">
        <v>47</v>
      </c>
      <c r="C15" s="8" t="s">
        <v>45</v>
      </c>
      <c r="D15" s="8" t="s">
        <v>41</v>
      </c>
      <c r="E15" s="16">
        <v>6900</v>
      </c>
      <c r="F15" s="10" t="s">
        <v>20</v>
      </c>
      <c r="G15" s="16">
        <v>4</v>
      </c>
      <c r="H15" s="17">
        <v>32.1</v>
      </c>
      <c r="I15" s="17">
        <f t="shared" si="1"/>
        <v>128.4</v>
      </c>
      <c r="J15" s="10" t="s">
        <v>46</v>
      </c>
    </row>
    <row r="16" ht="30" customHeight="1" spans="1:10">
      <c r="A16" s="7">
        <v>14</v>
      </c>
      <c r="B16" s="8" t="s">
        <v>48</v>
      </c>
      <c r="C16" s="8" t="s">
        <v>49</v>
      </c>
      <c r="D16" s="8" t="s">
        <v>41</v>
      </c>
      <c r="E16" s="16">
        <v>1520</v>
      </c>
      <c r="F16" s="10" t="s">
        <v>20</v>
      </c>
      <c r="G16" s="16">
        <v>12</v>
      </c>
      <c r="H16" s="17">
        <v>13.6</v>
      </c>
      <c r="I16" s="17">
        <f t="shared" si="1"/>
        <v>163.2</v>
      </c>
      <c r="J16" s="10" t="s">
        <v>21</v>
      </c>
    </row>
    <row r="17" ht="30" customHeight="1" spans="1:10">
      <c r="A17" s="7">
        <v>15</v>
      </c>
      <c r="B17" s="8" t="s">
        <v>50</v>
      </c>
      <c r="C17" s="8" t="s">
        <v>49</v>
      </c>
      <c r="D17" s="8" t="s">
        <v>41</v>
      </c>
      <c r="E17" s="16">
        <v>1124</v>
      </c>
      <c r="F17" s="10" t="s">
        <v>20</v>
      </c>
      <c r="G17" s="16">
        <v>6</v>
      </c>
      <c r="H17" s="17">
        <v>10.4</v>
      </c>
      <c r="I17" s="17">
        <f t="shared" si="1"/>
        <v>62.4</v>
      </c>
      <c r="J17" s="10" t="s">
        <v>21</v>
      </c>
    </row>
    <row r="18" ht="30" customHeight="1" spans="1:10">
      <c r="A18" s="7">
        <v>16</v>
      </c>
      <c r="B18" s="8" t="s">
        <v>51</v>
      </c>
      <c r="C18" s="8" t="s">
        <v>52</v>
      </c>
      <c r="D18" s="8" t="s">
        <v>41</v>
      </c>
      <c r="E18" s="16">
        <v>2300</v>
      </c>
      <c r="F18" s="10" t="s">
        <v>20</v>
      </c>
      <c r="G18" s="16">
        <v>12</v>
      </c>
      <c r="H18" s="17">
        <v>8.1</v>
      </c>
      <c r="I18" s="17">
        <f t="shared" si="1"/>
        <v>97.2</v>
      </c>
      <c r="J18" s="10" t="s">
        <v>21</v>
      </c>
    </row>
    <row r="19" ht="30" customHeight="1" spans="1:10">
      <c r="A19" s="7">
        <v>17</v>
      </c>
      <c r="B19" s="8" t="s">
        <v>53</v>
      </c>
      <c r="C19" s="8" t="s">
        <v>54</v>
      </c>
      <c r="D19" s="8" t="s">
        <v>41</v>
      </c>
      <c r="E19" s="16">
        <v>40</v>
      </c>
      <c r="F19" s="10" t="s">
        <v>34</v>
      </c>
      <c r="G19" s="16">
        <v>16</v>
      </c>
      <c r="H19" s="17">
        <v>0.6</v>
      </c>
      <c r="I19" s="17">
        <f t="shared" si="1"/>
        <v>9.6</v>
      </c>
      <c r="J19" s="10" t="s">
        <v>55</v>
      </c>
    </row>
    <row r="20" ht="30" customHeight="1" spans="1:10">
      <c r="A20" s="7">
        <v>18</v>
      </c>
      <c r="B20" s="8" t="s">
        <v>56</v>
      </c>
      <c r="C20" s="8" t="s">
        <v>54</v>
      </c>
      <c r="D20" s="8" t="s">
        <v>41</v>
      </c>
      <c r="E20" s="16">
        <v>40</v>
      </c>
      <c r="F20" s="10" t="s">
        <v>34</v>
      </c>
      <c r="G20" s="16">
        <v>8</v>
      </c>
      <c r="H20" s="17">
        <v>0.6</v>
      </c>
      <c r="I20" s="17">
        <f t="shared" si="1"/>
        <v>4.8</v>
      </c>
      <c r="J20" s="10" t="s">
        <v>55</v>
      </c>
    </row>
    <row r="21" ht="30" customHeight="1" spans="1:10">
      <c r="A21" s="7">
        <v>19</v>
      </c>
      <c r="B21" s="8" t="s">
        <v>57</v>
      </c>
      <c r="C21" s="8" t="s">
        <v>58</v>
      </c>
      <c r="D21" s="9" t="s">
        <v>59</v>
      </c>
      <c r="E21" s="8"/>
      <c r="F21" s="10" t="s">
        <v>60</v>
      </c>
      <c r="G21" s="16">
        <v>52</v>
      </c>
      <c r="H21" s="17">
        <v>1.85</v>
      </c>
      <c r="I21" s="17">
        <f t="shared" si="1"/>
        <v>96.2</v>
      </c>
      <c r="J21" s="10" t="s">
        <v>61</v>
      </c>
    </row>
    <row r="22" ht="30" customHeight="1" spans="1:10">
      <c r="A22" s="7">
        <v>20</v>
      </c>
      <c r="B22" s="8" t="s">
        <v>62</v>
      </c>
      <c r="C22" s="8" t="s">
        <v>58</v>
      </c>
      <c r="D22" s="9" t="s">
        <v>59</v>
      </c>
      <c r="E22" s="16"/>
      <c r="F22" s="10" t="s">
        <v>60</v>
      </c>
      <c r="G22" s="16">
        <v>8</v>
      </c>
      <c r="H22" s="17">
        <v>1.85</v>
      </c>
      <c r="I22" s="17">
        <f t="shared" si="1"/>
        <v>14.8</v>
      </c>
      <c r="J22" s="10" t="s">
        <v>61</v>
      </c>
    </row>
    <row r="23" ht="30" customHeight="1" spans="1:10">
      <c r="A23" s="7">
        <v>22</v>
      </c>
      <c r="B23" s="8" t="s">
        <v>63</v>
      </c>
      <c r="C23" s="8" t="s">
        <v>64</v>
      </c>
      <c r="D23" s="8">
        <v>304</v>
      </c>
      <c r="E23" s="16"/>
      <c r="F23" s="10" t="s">
        <v>60</v>
      </c>
      <c r="G23" s="16">
        <v>112</v>
      </c>
      <c r="H23" s="17">
        <v>0.53</v>
      </c>
      <c r="I23" s="17">
        <f t="shared" si="1"/>
        <v>59.36</v>
      </c>
      <c r="J23" s="10" t="s">
        <v>65</v>
      </c>
    </row>
    <row r="24" ht="30" customHeight="1" spans="1:10">
      <c r="A24" s="7">
        <v>23</v>
      </c>
      <c r="B24" s="8" t="s">
        <v>66</v>
      </c>
      <c r="C24" s="8" t="s">
        <v>67</v>
      </c>
      <c r="D24" s="8" t="s">
        <v>68</v>
      </c>
      <c r="E24" s="16"/>
      <c r="F24" s="10" t="s">
        <v>60</v>
      </c>
      <c r="G24" s="16">
        <v>50</v>
      </c>
      <c r="H24" s="17">
        <v>0.63</v>
      </c>
      <c r="I24" s="17">
        <f t="shared" si="1"/>
        <v>31.5</v>
      </c>
      <c r="J24" s="10" t="s">
        <v>69</v>
      </c>
    </row>
    <row r="25" ht="30" customHeight="1" spans="1:10">
      <c r="A25" s="7">
        <v>24</v>
      </c>
      <c r="B25" s="8" t="s">
        <v>70</v>
      </c>
      <c r="C25" s="8" t="s">
        <v>71</v>
      </c>
      <c r="D25" s="8" t="s">
        <v>68</v>
      </c>
      <c r="E25" s="16"/>
      <c r="F25" s="10" t="s">
        <v>60</v>
      </c>
      <c r="G25" s="16">
        <v>32</v>
      </c>
      <c r="H25" s="17">
        <v>1.21</v>
      </c>
      <c r="I25" s="17">
        <f t="shared" si="1"/>
        <v>38.72</v>
      </c>
      <c r="J25" s="10" t="s">
        <v>69</v>
      </c>
    </row>
    <row r="26" ht="30" customHeight="1" spans="1:10">
      <c r="A26" s="7">
        <v>25</v>
      </c>
      <c r="B26" s="8" t="s">
        <v>72</v>
      </c>
      <c r="C26" s="8" t="s">
        <v>73</v>
      </c>
      <c r="D26" s="8" t="s">
        <v>68</v>
      </c>
      <c r="E26" s="16"/>
      <c r="F26" s="10" t="s">
        <v>60</v>
      </c>
      <c r="G26" s="16">
        <v>16</v>
      </c>
      <c r="H26" s="17">
        <v>1.49</v>
      </c>
      <c r="I26" s="17">
        <f t="shared" si="1"/>
        <v>23.84</v>
      </c>
      <c r="J26" s="10" t="s">
        <v>69</v>
      </c>
    </row>
    <row r="27" ht="30" customHeight="1" spans="1:10">
      <c r="A27" s="7">
        <v>26</v>
      </c>
      <c r="B27" s="8" t="s">
        <v>74</v>
      </c>
      <c r="C27" s="8" t="s">
        <v>75</v>
      </c>
      <c r="D27" s="8" t="s">
        <v>68</v>
      </c>
      <c r="E27" s="16"/>
      <c r="F27" s="10" t="s">
        <v>60</v>
      </c>
      <c r="G27" s="16">
        <v>96</v>
      </c>
      <c r="H27" s="17">
        <v>0.83</v>
      </c>
      <c r="I27" s="17">
        <f t="shared" si="1"/>
        <v>79.68</v>
      </c>
      <c r="J27" s="10" t="s">
        <v>76</v>
      </c>
    </row>
    <row r="28" ht="30" customHeight="1" spans="1:10">
      <c r="A28" s="7">
        <v>27</v>
      </c>
      <c r="B28" s="8" t="s">
        <v>77</v>
      </c>
      <c r="C28" s="8" t="s">
        <v>67</v>
      </c>
      <c r="D28" s="8" t="s">
        <v>68</v>
      </c>
      <c r="E28" s="16"/>
      <c r="F28" s="10" t="s">
        <v>60</v>
      </c>
      <c r="G28" s="19">
        <v>72</v>
      </c>
      <c r="H28" s="17">
        <v>0.63</v>
      </c>
      <c r="I28" s="17">
        <f t="shared" si="1"/>
        <v>45.36</v>
      </c>
      <c r="J28" s="10" t="s">
        <v>69</v>
      </c>
    </row>
    <row r="29" ht="30" customHeight="1" spans="1:10">
      <c r="A29" s="7">
        <v>28</v>
      </c>
      <c r="B29" s="8"/>
      <c r="C29" s="8"/>
      <c r="D29" s="8"/>
      <c r="E29" s="16"/>
      <c r="F29" s="10"/>
      <c r="G29" s="10"/>
      <c r="H29" s="17"/>
      <c r="I29" s="17"/>
      <c r="J29" s="10"/>
    </row>
    <row r="30" ht="30" customHeight="1" spans="1:10">
      <c r="A30" s="7">
        <v>29</v>
      </c>
      <c r="B30" s="10"/>
      <c r="C30" s="11"/>
      <c r="D30" s="10"/>
      <c r="E30" s="10"/>
      <c r="F30" s="10"/>
      <c r="G30" s="10"/>
      <c r="H30" s="17"/>
      <c r="I30" s="17"/>
      <c r="J30" s="10"/>
    </row>
    <row r="31" ht="30" customHeight="1" spans="1:10">
      <c r="A31" s="7">
        <v>32</v>
      </c>
      <c r="B31" s="12" t="s">
        <v>78</v>
      </c>
      <c r="C31" s="13"/>
      <c r="D31" s="10"/>
      <c r="E31" s="10"/>
      <c r="F31" s="10"/>
      <c r="G31" s="10"/>
      <c r="H31" s="17"/>
      <c r="I31" s="17">
        <f>SUM(I3:I30)</f>
        <v>5678.325685142</v>
      </c>
      <c r="J31" s="10"/>
    </row>
  </sheetData>
  <mergeCells count="2">
    <mergeCell ref="A1:J1"/>
    <mergeCell ref="B31:C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2x28</vt:lpstr>
      <vt:lpstr>2x14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李梦源</cp:lastModifiedBy>
  <dcterms:created xsi:type="dcterms:W3CDTF">2022-12-13T16:41:00Z</dcterms:created>
  <dcterms:modified xsi:type="dcterms:W3CDTF">2025-10-20T15:55:34Z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E3C606D6FE10F385F6EAF568496825D0_43</vt:lpwstr>
  </property>
  <property fmtid="{D5CDD505-2E9C-101B-9397-08002B2CF9AE}" pid="3" name="KSOProductBuildVer">
    <vt:lpwstr>2052-7.3.1.8967</vt:lpwstr>
  </property>
</Properties>
</file>